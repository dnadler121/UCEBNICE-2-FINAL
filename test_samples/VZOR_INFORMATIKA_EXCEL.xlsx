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31b513d04b45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ej" sheetId="1" r:id="Rcd7d4c799f4b479e"/>
    <x:sheet xmlns:r="http://schemas.openxmlformats.org/officeDocument/2006/relationships" name="Souhrn" sheetId="2" r:id="R21a79b184cba41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 &quot;Kč&quot;"/>
  </x:numFmts>
  <x:fonts count="4">
    <x:font>
      <x:sz val="11"/>
      <x:name val="Carlito"/>
    </x:font>
    <x:font>
      <x:b/>
      <x:sz val="12"/>
      <x:name val="Arial"/>
    </x:font>
    <x:font>
      <x:sz val="11"/>
      <x:name val="Calibri"/>
    </x:font>
    <x:font>
      <x:b/>
      <x:sz val="14"/>
      <x:name val="Arial"/>
    </x:font>
  </x:fonts>
  <x:fills count="2">
    <x:fill>
      <x:patternFill patternType="none"/>
    </x:fill>
    <x:fill>
      <x:patternFill patternType="gray125"/>
    </x:fill>
  </x:fills>
  <x:borders count="8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1" fillId="0" borderId="2" xfId="0" applyNumberFormat="1" applyFont="1" applyFill="1" applyBorder="1" applyAlignment="1">
      <x:alignment horizontal="center" vertical="center"/>
    </x:xf>
    <x:xf numFmtId="0" fontId="1" fillId="0" borderId="3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5" xfId="0" applyNumberFormat="1" applyFont="1" applyFill="1" applyBorder="1" applyAlignment="1">
      <x:alignment horizontal="center" vertical="center"/>
    </x:xf>
    <x:xf numFmtId="0" fontId="1" fillId="0" borderId="6" xfId="0" applyNumberFormat="1" applyFont="1" applyFill="1" applyBorder="1" applyAlignment="1">
      <x:alignment horizontal="center" vertical="center"/>
    </x:xf>
    <x:xf numFmtId="0" fontId="1" fillId="0" borderId="7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200" fontId="2" fillId="0" borderId="0" xfId="0" applyNumberFormat="1" applyFont="1" applyFill="1" applyBorder="1"/>
    <x:xf numFmtId="20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1">
    <x:dxf>
      <x:font>
        <x:b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c45e4d91324036" /><Relationship Type="http://schemas.openxmlformats.org/officeDocument/2006/relationships/theme" Target="/xl/theme/theme1.xml" Id="Ra731ac00dfee496e" /><Relationship Type="http://schemas.openxmlformats.org/officeDocument/2006/relationships/sharedStrings" Target="/xl/sharedStrings.xml" Id="Rc6b7c508b7934acf" /><Relationship Type="http://schemas.openxmlformats.org/officeDocument/2006/relationships/worksheet" Target="/xl/worksheets/sheet1.xml" Id="Rcd7d4c799f4b479e" /><Relationship Type="http://schemas.openxmlformats.org/officeDocument/2006/relationships/worksheet" Target="/xl/worksheets/sheet2.xml" Id="R21a79b184cba41f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5ae753724964bd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Tržby podle položky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Počet</c:v>
          </c:tx>
          <c:cat>
            <c:strRef>
              <c:f>'Prodej'!$A$2:$A$6</c:f>
              <c:strCache>
                <c:ptCount val="0"/>
              </c:strCache>
            </c:strRef>
          </c:cat>
          <c:val>
            <c:numRef>
              <c:f>'Prodej'!$B$2:$B$6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Cena</c:v>
          </c:tx>
          <c:cat>
            <c:strRef>
              <c:f>'Prodej'!$A$2:$A$6</c:f>
              <c:strCache>
                <c:ptCount val="0"/>
              </c:strCache>
            </c:strRef>
          </c:cat>
          <c:val>
            <c:numRef>
              <c:f>'Prodej'!$C$2:$C$6</c:f>
              <c:numCache>
                <c:formatCode>#,##0 "Kč"</c:formatCode>
                <c:ptCount val="0"/>
              </c:numCache>
            </c:numRef>
          </c:val>
        </c:ser>
        <c:ser>
          <c:idx val="2"/>
          <c:order val="2"/>
          <c:tx>
            <c:v>Celkem</c:v>
          </c:tx>
          <c:cat>
            <c:strRef>
              <c:f>'Prodej'!$A$2:$A$6</c:f>
              <c:strCache>
                <c:ptCount val="0"/>
              </c:strCache>
            </c:strRef>
          </c:cat>
          <c:val>
            <c:numRef>
              <c:f>'Prodej'!$D$2:$D$6</c:f>
              <c:numCache>
                <c:formatCode>#,##0 "Kč"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5ae753724964bd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dejTable" displayName="ProdejTable" ref="A1:E6" headerRowCount="1" totalsRowCount="0" totalsRowShown="0">
  <x:tableColumns count="5">
    <x:tableColumn id="1" name="Položka"/>
    <x:tableColumn id="2" name="Počet"/>
    <x:tableColumn id="3" name="Cena"/>
    <x:tableColumn id="4" name="Celkem"/>
    <x:tableColumn id="5" name="Kategori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12a154156aa42ba" /><Relationship Type="http://schemas.openxmlformats.org/officeDocument/2006/relationships/table" Target="/xl/tables/table1.xml" Id="Rff3dfa970ecf41a9" /></Relationships>
</file>

<file path=xl/worksheets/sheet1.xml><?xml version="1.0" encoding="utf-8"?>
<x:worksheet xmlns:x="http://schemas.openxmlformats.org/spreadsheetml/2006/main">
  <x:sheetFormatPr defaultRowHeight="15"/>
  <x:cols>
    <x:col min="1" max="1" width="10.630000114440918" hidden="0" customWidth="1"/>
    <x:col min="2" max="2" width="8.5" hidden="0" customWidth="1"/>
    <x:col min="3" max="3" width="8" hidden="0" customWidth="1"/>
    <x:col min="4" max="4" width="10.130000114440918" hidden="0" customWidth="1"/>
    <x:col min="5" max="5" width="12.25" hidden="0" customWidth="1"/>
  </x:cols>
  <x:sheetData>
    <x:row r="1">
      <x:c r="A1" s="8" t="str">
        <x:v>Položka</x:v>
      </x:c>
      <x:c r="B1" s="9" t="str">
        <x:v>Počet</x:v>
      </x:c>
      <x:c r="C1" s="9" t="str">
        <x:v>Cena</x:v>
      </x:c>
      <x:c r="D1" s="9" t="str">
        <x:v>Celkem</x:v>
      </x:c>
      <x:c r="E1" s="10" t="str">
        <x:v>Kategorie</x:v>
      </x:c>
    </x:row>
    <x:row r="2">
      <x:c r="A2" s="14" t="str">
        <x:v>Káva</x:v>
      </x:c>
      <x:c r="B2" s="14" t="n">
        <x:v>10</x:v>
      </x:c>
      <x:c r="C2" s="16" t="n">
        <x:v>55</x:v>
      </x:c>
      <x:c r="D2" s="16" t="n">
        <x:f>B2*C2</x:f>
        <x:v>550</x:v>
      </x:c>
      <x:c r="E2" s="14" t="str">
        <x:v>Nápoj</x:v>
      </x:c>
    </x:row>
    <x:row r="3">
      <x:c r="A3" s="14" t="str">
        <x:v>Čaj</x:v>
      </x:c>
      <x:c r="B3" s="14" t="n">
        <x:v>8</x:v>
      </x:c>
      <x:c r="C3" s="16" t="n">
        <x:v>45</x:v>
      </x:c>
      <x:c r="D3" s="16" t="n">
        <x:f>B3*C3</x:f>
        <x:v>360</x:v>
      </x:c>
      <x:c r="E3" s="14" t="str">
        <x:v>Nápoj</x:v>
      </x:c>
    </x:row>
    <x:row r="4">
      <x:c r="A4" s="14" t="str">
        <x:v>Džus</x:v>
      </x:c>
      <x:c r="B4" s="14" t="n">
        <x:v>12</x:v>
      </x:c>
      <x:c r="C4" s="16" t="n">
        <x:v>60</x:v>
      </x:c>
      <x:c r="D4" s="16" t="n">
        <x:f>B4*C4</x:f>
        <x:v>720</x:v>
      </x:c>
      <x:c r="E4" s="14" t="str">
        <x:v>Nápoj</x:v>
      </x:c>
    </x:row>
    <x:row r="5">
      <x:c r="A5" s="14" t="str">
        <x:v>Voda</x:v>
      </x:c>
      <x:c r="B5" s="14" t="n">
        <x:v>20</x:v>
      </x:c>
      <x:c r="C5" s="16" t="n">
        <x:v>35</x:v>
      </x:c>
      <x:c r="D5" s="16" t="n">
        <x:f>B5*C5</x:f>
        <x:v>700</x:v>
      </x:c>
      <x:c r="E5" s="14" t="str">
        <x:v>Nápoj</x:v>
      </x:c>
    </x:row>
    <x:row r="6">
      <x:c r="A6" s="14" t="str">
        <x:v>Dort</x:v>
      </x:c>
      <x:c r="B6" s="14" t="n">
        <x:v>6</x:v>
      </x:c>
      <x:c r="C6" s="16" t="n">
        <x:v>85</x:v>
      </x:c>
      <x:c r="D6" s="16" t="n">
        <x:f>B6*C6</x:f>
        <x:v>510</x:v>
      </x:c>
      <x:c r="E6" s="14" t="str">
        <x:v>Jídlo</x:v>
      </x:c>
    </x:row>
    <x:row r="8">
      <x:c r="A8" s="20" t="str">
        <x:v>Souhrn prodeje</x:v>
      </x:c>
      <x:c r="B8" s="20"/>
      <x:c r="C8" s="20"/>
    </x:row>
    <x:row r="9">
      <x:c r="A9" t="str">
        <x:v>Ukazatel</x:v>
      </x:c>
      <x:c r="B9" t="str">
        <x:v>Hodnota</x:v>
      </x:c>
    </x:row>
    <x:row r="10">
      <x:c r="A10" t="str">
        <x:v>Součet</x:v>
      </x:c>
      <x:c r="B10" t="n">
        <x:f>SUM(D2:D6)</x:f>
        <x:v>2840</x:v>
      </x:c>
    </x:row>
    <x:row r="11">
      <x:c r="A11" t="str">
        <x:v>Průměr</x:v>
      </x:c>
      <x:c r="B11" t="n">
        <x:f>AVERAGE(D2:D6)</x:f>
        <x:v>568</x:v>
      </x:c>
    </x:row>
  </x:sheetData>
  <x:mergeCells>
    <x:mergeCell ref="A8:C8"/>
  </x:mergeCells>
  <x:conditionalFormatting sqref="D2:D6">
    <x:cfRule type="cellIs" dxfId="0" priority="1" operator="greaterThan">
      <x:formula>500</x:formula>
    </x:cfRule>
  </x:conditionalFormatting>
  <x:pageMargins left="0.7" right="0.7" top="0.75" bottom="0.75" header="0.3" footer="0.3"/>
  <x:drawing xmlns:r="http://schemas.openxmlformats.org/officeDocument/2006/relationships" r:id="R612a154156aa42ba"/>
  <x:tableParts count="1">
    <x:tablePart xmlns:r="http://schemas.openxmlformats.org/officeDocument/2006/relationships" r:id="Rff3dfa970ecf41a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7.630000114440918" hidden="0" customWidth="1"/>
    <x:col min="2" max="2" width="10.880000114440918" hidden="0" customWidth="1"/>
    <x:col min="3" max="3" width="4.5" hidden="0" customWidth="1"/>
  </x:cols>
  <x:sheetData>
    <x:row r="1">
      <x:c r="A1" t="str">
        <x:v>Kategorie</x:v>
      </x:c>
      <x:c r="B1" t="str">
        <x:v>Počet položek</x:v>
      </x:c>
      <x:c r="C1" t="str">
        <x:v>Tržba</x:v>
      </x:c>
    </x:row>
    <x:row r="2">
      <x:c r="A2" t="str">
        <x:v>Nápoj</x:v>
      </x:c>
      <x:c r="B2" t="n">
        <x:f>COUNTIF(Prodej!E2:E6,A2)</x:f>
        <x:v>4</x:v>
      </x:c>
      <x:c r="C2" t="n">
        <x:f>SUMIF(Prodej!E2:E6,A2,Prodej!D2:D6)</x:f>
        <x:v>2330</x:v>
      </x:c>
    </x:row>
    <x:row r="3">
      <x:c r="A3" t="str">
        <x:v>Jídlo</x:v>
      </x:c>
      <x:c r="B3" t="n">
        <x:f>COUNTIF(Prodej!E3:E7,A3)</x:f>
        <x:v>1</x:v>
      </x:c>
      <x:c r="C3" t="n">
        <x:f>SUMIF(Prodej!E3:E7,A3,Prodej!D3:D7)</x:f>
        <x:v>510</x:v>
      </x:c>
    </x:row>
  </x:sheetData>
  <x:pageMargins left="0.7" right="0.7" top="0.75" bottom="0.75" header="0.3" footer="0.3"/>
</x:worksheet>
</file>